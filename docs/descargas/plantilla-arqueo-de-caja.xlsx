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eo de caja" sheetId="1" state="visible" r:id="rId1"/>
  </sheets>
  <definedNames>
    <definedName name="_xlnm.Print_Area" localSheetId="0">'Arqueo de caja'!$A$1:$E$43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&quot; €&quot;"/>
    <numFmt numFmtId="166" formatCode="+#,##0.00&quot; €&quot;;-#,##0.00&quot; €&quot;;0.00&quot; €&quot;"/>
  </numFmts>
  <fonts count="10">
    <font>
      <name val="Calibri"/>
      <family val="2"/>
      <color theme="1"/>
      <sz val="11"/>
      <scheme val="minor"/>
    </font>
    <font>
      <name val="Calibri"/>
      <b val="1"/>
      <color rgb="000B1B33"/>
      <sz val="18"/>
    </font>
    <font>
      <name val="Calibri"/>
      <color rgb="005B6785"/>
      <sz val="9"/>
    </font>
    <font>
      <name val="Calibri"/>
      <b val="1"/>
      <color rgb="000B1B33"/>
      <sz val="11"/>
    </font>
    <font>
      <name val="Calibri"/>
      <b val="1"/>
      <color rgb="00FFFFFF"/>
      <sz val="11"/>
    </font>
    <font>
      <name val="Calibri"/>
      <color rgb="000B1B33"/>
      <sz val="11"/>
    </font>
    <font>
      <name val="Calibri"/>
      <color rgb="005B6785"/>
      <sz val="11"/>
    </font>
    <font>
      <name val="Calibri"/>
      <b val="1"/>
      <sz val="12"/>
    </font>
    <font>
      <name val="Calibri"/>
      <b val="1"/>
      <sz val="11"/>
    </font>
    <font>
      <name val="Calibri"/>
      <i val="1"/>
      <color rgb="005B6785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3B5BFD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9D3EA"/>
      </left>
      <right style="thin">
        <color rgb="00C9D3EA"/>
      </right>
      <top style="thin">
        <color rgb="00C9D3EA"/>
      </top>
      <bottom style="thin">
        <color rgb="00C9D3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pivotButton="0" quotePrefix="0" xfId="0"/>
    <xf numFmtId="1" fontId="0" fillId="2" borderId="1" applyAlignment="1" pivotButton="0" quotePrefix="0" xfId="0">
      <alignment horizontal="right"/>
    </xf>
    <xf numFmtId="165" fontId="0" fillId="0" borderId="1" pivotButton="0" quotePrefix="0" xfId="0"/>
    <xf numFmtId="165" fontId="7" fillId="4" borderId="0" pivotButton="0" quotePrefix="0" xfId="0"/>
    <xf numFmtId="165" fontId="0" fillId="2" borderId="1" applyAlignment="1" pivotButton="0" quotePrefix="0" xfId="0">
      <alignment horizontal="right"/>
    </xf>
    <xf numFmtId="166" fontId="7" fillId="0" borderId="0" pivotButton="0" quotePrefix="0" xfId="0"/>
    <xf numFmtId="0" fontId="8" fillId="0" borderId="0" pivotButton="0" quotePrefix="0" xfId="0"/>
    <xf numFmtId="0" fontId="0" fillId="2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CDEFD8"/>
        </patternFill>
      </fill>
    </dxf>
    <dxf>
      <fill>
        <patternFill patternType="solid">
          <bgColor rgb="00FFE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8" customWidth="1" min="4" max="4"/>
    <col width="22" customWidth="1" min="5" max="5"/>
  </cols>
  <sheetData>
    <row r="1">
      <c r="A1" s="1" t="inlineStr">
        <is>
          <t>Arqueo de caja</t>
        </is>
      </c>
    </row>
    <row r="2">
      <c r="A2" s="2" t="inlineStr">
        <is>
          <t>Rellena solo las celdas amarillas. Plantilla gratuita de NirKanA · nirkana.es/herramientas/calculadora-de-arqueo-de-caja/</t>
        </is>
      </c>
    </row>
    <row r="4">
      <c r="A4" s="3" t="inlineStr">
        <is>
          <t>Fecha</t>
        </is>
      </c>
      <c r="B4" s="4" t="n"/>
      <c r="C4" s="5" t="inlineStr">
        <is>
          <t>Turno o responsable</t>
        </is>
      </c>
      <c r="E4" s="6" t="n"/>
    </row>
    <row r="6">
      <c r="A6" s="7" t="inlineStr">
        <is>
          <t>1. Efectivo contado</t>
        </is>
      </c>
      <c r="B6" s="8" t="inlineStr">
        <is>
          <t>Valor</t>
        </is>
      </c>
      <c r="C6" s="8" t="inlineStr">
        <is>
          <t>Cantidad</t>
        </is>
      </c>
      <c r="D6" s="8" t="inlineStr">
        <is>
          <t>Importe</t>
        </is>
      </c>
    </row>
    <row r="7">
      <c r="A7" s="9" t="inlineStr">
        <is>
          <t>Billete de 500 €</t>
        </is>
      </c>
      <c r="B7" s="10" t="n">
        <v>500</v>
      </c>
      <c r="C7" s="11" t="n"/>
      <c r="D7" s="12">
        <f>B7*C7</f>
        <v/>
      </c>
    </row>
    <row r="8">
      <c r="A8" s="9" t="inlineStr">
        <is>
          <t>Billete de 200 €</t>
        </is>
      </c>
      <c r="B8" s="10" t="n">
        <v>200</v>
      </c>
      <c r="C8" s="11" t="n"/>
      <c r="D8" s="12">
        <f>B8*C8</f>
        <v/>
      </c>
    </row>
    <row r="9">
      <c r="A9" s="9" t="inlineStr">
        <is>
          <t>Billete de 100 €</t>
        </is>
      </c>
      <c r="B9" s="10" t="n">
        <v>100</v>
      </c>
      <c r="C9" s="11" t="n"/>
      <c r="D9" s="12">
        <f>B9*C9</f>
        <v/>
      </c>
    </row>
    <row r="10">
      <c r="A10" s="9" t="inlineStr">
        <is>
          <t>Billete de 50 €</t>
        </is>
      </c>
      <c r="B10" s="10" t="n">
        <v>50</v>
      </c>
      <c r="C10" s="11" t="n"/>
      <c r="D10" s="12">
        <f>B10*C10</f>
        <v/>
      </c>
    </row>
    <row r="11">
      <c r="A11" s="9" t="inlineStr">
        <is>
          <t>Billete de 20 €</t>
        </is>
      </c>
      <c r="B11" s="10" t="n">
        <v>20</v>
      </c>
      <c r="C11" s="11" t="n"/>
      <c r="D11" s="12">
        <f>B11*C11</f>
        <v/>
      </c>
    </row>
    <row r="12">
      <c r="A12" s="9" t="inlineStr">
        <is>
          <t>Billete de 10 €</t>
        </is>
      </c>
      <c r="B12" s="10" t="n">
        <v>10</v>
      </c>
      <c r="C12" s="11" t="n"/>
      <c r="D12" s="12">
        <f>B12*C12</f>
        <v/>
      </c>
    </row>
    <row r="13">
      <c r="A13" s="9" t="inlineStr">
        <is>
          <t>Billete de 5 €</t>
        </is>
      </c>
      <c r="B13" s="10" t="n">
        <v>5</v>
      </c>
      <c r="C13" s="11" t="n"/>
      <c r="D13" s="12">
        <f>B13*C13</f>
        <v/>
      </c>
    </row>
    <row r="14">
      <c r="A14" s="9" t="inlineStr">
        <is>
          <t>Moneda de 2 €</t>
        </is>
      </c>
      <c r="B14" s="10" t="n">
        <v>2</v>
      </c>
      <c r="C14" s="11" t="n"/>
      <c r="D14" s="12">
        <f>B14*C14</f>
        <v/>
      </c>
    </row>
    <row r="15">
      <c r="A15" s="9" t="inlineStr">
        <is>
          <t>Moneda de 1 €</t>
        </is>
      </c>
      <c r="B15" s="10" t="n">
        <v>1</v>
      </c>
      <c r="C15" s="11" t="n"/>
      <c r="D15" s="12">
        <f>B15*C15</f>
        <v/>
      </c>
    </row>
    <row r="16">
      <c r="A16" s="9" t="inlineStr">
        <is>
          <t>Moneda de 0,50 €</t>
        </is>
      </c>
      <c r="B16" s="10" t="n">
        <v>0.5</v>
      </c>
      <c r="C16" s="11" t="n"/>
      <c r="D16" s="12">
        <f>B16*C16</f>
        <v/>
      </c>
    </row>
    <row r="17">
      <c r="A17" s="9" t="inlineStr">
        <is>
          <t>Moneda de 0,20 €</t>
        </is>
      </c>
      <c r="B17" s="10" t="n">
        <v>0.2</v>
      </c>
      <c r="C17" s="11" t="n"/>
      <c r="D17" s="12">
        <f>B17*C17</f>
        <v/>
      </c>
    </row>
    <row r="18">
      <c r="A18" s="9" t="inlineStr">
        <is>
          <t>Moneda de 0,10 €</t>
        </is>
      </c>
      <c r="B18" s="10" t="n">
        <v>0.1</v>
      </c>
      <c r="C18" s="11" t="n"/>
      <c r="D18" s="12">
        <f>B18*C18</f>
        <v/>
      </c>
    </row>
    <row r="19">
      <c r="A19" s="9" t="inlineStr">
        <is>
          <t>Moneda de 0,05 €</t>
        </is>
      </c>
      <c r="B19" s="10" t="n">
        <v>0.05</v>
      </c>
      <c r="C19" s="11" t="n"/>
      <c r="D19" s="12">
        <f>B19*C19</f>
        <v/>
      </c>
    </row>
    <row r="20">
      <c r="A20" s="9" t="inlineStr">
        <is>
          <t>Moneda de 0,02 €</t>
        </is>
      </c>
      <c r="B20" s="10" t="n">
        <v>0.02</v>
      </c>
      <c r="C20" s="11" t="n"/>
      <c r="D20" s="12">
        <f>B20*C20</f>
        <v/>
      </c>
    </row>
    <row r="21">
      <c r="A21" s="9" t="inlineStr">
        <is>
          <t>Moneda de 0,01 €</t>
        </is>
      </c>
      <c r="B21" s="10" t="n">
        <v>0.01</v>
      </c>
      <c r="C21" s="11" t="n"/>
      <c r="D21" s="12">
        <f>B21*C21</f>
        <v/>
      </c>
    </row>
    <row r="22">
      <c r="A22" s="3" t="inlineStr">
        <is>
          <t>Total contado</t>
        </is>
      </c>
      <c r="D22" s="13">
        <f>SUM(D7:D21)</f>
        <v/>
      </c>
    </row>
    <row r="24">
      <c r="A24" s="7" t="inlineStr">
        <is>
          <t>2. Lo que debería haber</t>
        </is>
      </c>
      <c r="B24" s="8" t="inlineStr"/>
      <c r="C24" s="8" t="inlineStr"/>
      <c r="D24" s="8" t="inlineStr">
        <is>
          <t>Importe</t>
        </is>
      </c>
    </row>
    <row r="25">
      <c r="A25" s="9" t="inlineStr">
        <is>
          <t>Fondo de caja con el que empezaste</t>
        </is>
      </c>
      <c r="D25" s="14" t="n"/>
    </row>
    <row r="26">
      <c r="A26" s="9" t="inlineStr">
        <is>
          <t>+ Ventas cobradas en efectivo</t>
        </is>
      </c>
      <c r="D26" s="14" t="n"/>
    </row>
    <row r="27">
      <c r="A27" s="9" t="inlineStr">
        <is>
          <t>+ Otras entradas de efectivo</t>
        </is>
      </c>
      <c r="D27" s="14" t="n"/>
    </row>
    <row r="28">
      <c r="A28" s="9" t="inlineStr">
        <is>
          <t>− Salidas de efectivo (proveedores, retiradas, devoluciones)</t>
        </is>
      </c>
      <c r="D28" s="14" t="n"/>
    </row>
    <row r="29">
      <c r="A29" s="3" t="inlineStr">
        <is>
          <t>Efectivo esperado</t>
        </is>
      </c>
      <c r="D29" s="13">
        <f>D25+D26+D27-D28</f>
        <v/>
      </c>
    </row>
    <row r="31">
      <c r="A31" s="7" t="inlineStr">
        <is>
          <t>3. Resultado</t>
        </is>
      </c>
      <c r="B31" s="8" t="inlineStr"/>
      <c r="C31" s="8" t="inlineStr"/>
      <c r="D31" s="8" t="inlineStr">
        <is>
          <t>Importe</t>
        </is>
      </c>
    </row>
    <row r="32">
      <c r="A32" s="3" t="inlineStr">
        <is>
          <t>Diferencia (contado − esperado)</t>
        </is>
      </c>
      <c r="D32" s="15">
        <f>D22-D29</f>
        <v/>
      </c>
      <c r="E32" s="16">
        <f>IF(ROUND(D32,2)=0,"La caja cuadra",IF(D32&gt;0,"Sobra dinero","Falta dinero"))</f>
        <v/>
      </c>
    </row>
    <row r="33">
      <c r="A33" s="9" t="inlineStr">
        <is>
          <t>Fondo que dejas en la caja para mañana</t>
        </is>
      </c>
      <c r="D33" s="14" t="n"/>
    </row>
    <row r="34">
      <c r="A34" s="3" t="inlineStr">
        <is>
          <t>Efectivo a retirar del cajón</t>
        </is>
      </c>
      <c r="D34" s="13">
        <f>D22-D33</f>
        <v/>
      </c>
    </row>
    <row r="36">
      <c r="A36" s="3" t="inlineStr">
        <is>
          <t>Observaciones (qué ha pasado si no cuadra, a quién se avisa)</t>
        </is>
      </c>
    </row>
    <row r="37">
      <c r="A37" s="17" t="n"/>
    </row>
    <row r="38"/>
    <row r="39"/>
    <row r="41">
      <c r="A41" s="9" t="inlineStr">
        <is>
          <t>Firma de quien cuenta:</t>
        </is>
      </c>
      <c r="C41" s="9" t="inlineStr">
        <is>
          <t>Firma de quien revisa:</t>
        </is>
      </c>
    </row>
    <row r="43">
      <c r="A43" s="18" t="inlineStr">
        <is>
          <t>Las ventas con tarjeta, Bizum u otras formas de pago no están en el cajón: compara su total con el del datáfono y con el de tu programa.</t>
        </is>
      </c>
    </row>
  </sheetData>
  <mergeCells count="2">
    <mergeCell ref="A37:E39"/>
    <mergeCell ref="C4:D4"/>
  </mergeCells>
  <conditionalFormatting sqref="D32:E32">
    <cfRule type="expression" priority="1" dxfId="0">
      <formula>ROUND($D$32,2)=0</formula>
    </cfRule>
    <cfRule type="expression" priority="2" dxfId="1">
      <formula>ROUND($D$32,2)&lt;&gt;0</formula>
    </cfRule>
  </conditionalFormatting>
  <dataValidations count="2">
    <dataValidation sqref="C7 C8 C9 C10 C11 C12 C13 C14 C15 C16 C17 C18 C19 C20 C21" showDropDown="0" showInputMessage="0" showErrorMessage="1" allowBlank="1" errorTitle="Cantidad" error="Escribe un número entero de 0 o más." type="whole" operator="greaterThanOrEqual">
      <formula1>0</formula1>
    </dataValidation>
    <dataValidation sqref="D25 D26 D27 D28 D33" showDropDown="0" showInputMessage="0" showErrorMessage="1" allowBlank="1" errorTitle="Importe" error="Escribe un importe de 0 € o más." type="decimal" operator="greaterThanOrEqual">
      <formula1>0</formula1>
    </dataValidation>
  </dataValidation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NirKanA</dc:creator>
  <dc:title xmlns:dc="http://purl.org/dc/elements/1.1/">Plantilla de arqueo de caja</dc:title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2026-10-22T05:13:13Z</dcterms:modified>
</cp:coreProperties>
</file>